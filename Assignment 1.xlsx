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Videos\EXCEL\data analystic\"/>
    </mc:Choice>
  </mc:AlternateContent>
  <xr:revisionPtr revIDLastSave="0" documentId="13_ncr:1_{2E954EBB-7BDD-4A91-9EF9-91EFE6570E2C}" xr6:coauthVersionLast="47" xr6:coauthVersionMax="47" xr10:uidLastSave="{00000000-0000-0000-0000-000000000000}"/>
  <bookViews>
    <workbookView xWindow="-120" yWindow="-120" windowWidth="20730" windowHeight="11160" xr2:uid="{740D7F8C-B3F9-4D3B-B74E-507FBD72EB6D}"/>
  </bookViews>
  <sheets>
    <sheet name="Sheet2" sheetId="2" r:id="rId1"/>
    <sheet name="Sheet1" sheetId="3" r:id="rId2"/>
  </sheets>
  <definedNames>
    <definedName name="_xlnm._FilterDatabase" localSheetId="0" hidden="1">Sheet2!$A$1:$I$22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3" i="3" l="1"/>
  <c r="D62" i="3"/>
  <c r="D61" i="3"/>
  <c r="D60" i="3"/>
  <c r="D56" i="3"/>
  <c r="D55" i="3"/>
  <c r="D54" i="3"/>
  <c r="D53" i="3"/>
  <c r="D50" i="3"/>
  <c r="D49" i="3"/>
  <c r="D48" i="3"/>
  <c r="D47" i="3"/>
  <c r="D42" i="3"/>
  <c r="D41" i="3"/>
  <c r="D40" i="3"/>
  <c r="D39" i="3"/>
  <c r="D37" i="3"/>
  <c r="D36" i="3"/>
  <c r="D35" i="3"/>
  <c r="D33" i="3"/>
  <c r="D32" i="3"/>
  <c r="D31" i="3"/>
  <c r="D29" i="3"/>
  <c r="D28" i="3"/>
  <c r="D27" i="3"/>
  <c r="D26" i="3"/>
  <c r="D25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<sst xmlns="http://schemas.openxmlformats.org/spreadsheetml/2006/main" count="188" uniqueCount="102">
  <si>
    <t>Employee ID</t>
  </si>
  <si>
    <t>Employee Name</t>
  </si>
  <si>
    <t>Gender</t>
  </si>
  <si>
    <t>Department</t>
  </si>
  <si>
    <t>Branch</t>
  </si>
  <si>
    <t>Years of Experience</t>
  </si>
  <si>
    <t>Sales ($)</t>
  </si>
  <si>
    <t>Performance</t>
  </si>
  <si>
    <t>Status</t>
  </si>
  <si>
    <t>EMP001</t>
  </si>
  <si>
    <t>John Adams</t>
  </si>
  <si>
    <t>Male</t>
  </si>
  <si>
    <t>Sales</t>
  </si>
  <si>
    <t>Lagos</t>
  </si>
  <si>
    <t>Excellent</t>
  </si>
  <si>
    <t>Completed</t>
  </si>
  <si>
    <t>EMP002</t>
  </si>
  <si>
    <t>Sarah James</t>
  </si>
  <si>
    <t>Female</t>
  </si>
  <si>
    <t>Marketing</t>
  </si>
  <si>
    <t>Abuja</t>
  </si>
  <si>
    <t>Good</t>
  </si>
  <si>
    <t>EMP003</t>
  </si>
  <si>
    <t>David Paul</t>
  </si>
  <si>
    <t>EMP004</t>
  </si>
  <si>
    <t>Grace John</t>
  </si>
  <si>
    <t>HR</t>
  </si>
  <si>
    <t>Port Harcourt</t>
  </si>
  <si>
    <t>Pending</t>
  </si>
  <si>
    <t>EMP005</t>
  </si>
  <si>
    <t>Michael Obi</t>
  </si>
  <si>
    <t>Finance</t>
  </si>
  <si>
    <t>EMP006</t>
  </si>
  <si>
    <t>Esther Bello</t>
  </si>
  <si>
    <t>Fair</t>
  </si>
  <si>
    <t>EMP007</t>
  </si>
  <si>
    <t>Daniel Kim</t>
  </si>
  <si>
    <t>EMP008</t>
  </si>
  <si>
    <t>Mercy Ali</t>
  </si>
  <si>
    <t>EMP009</t>
  </si>
  <si>
    <t>James Cole</t>
  </si>
  <si>
    <t>EMP010</t>
  </si>
  <si>
    <t>Vivian Duke</t>
  </si>
  <si>
    <t>EMP011</t>
  </si>
  <si>
    <t>Peter Simon</t>
  </si>
  <si>
    <t>EMP012</t>
  </si>
  <si>
    <t>Anita Grace</t>
  </si>
  <si>
    <t>EMP013</t>
  </si>
  <si>
    <t>Samuel John</t>
  </si>
  <si>
    <t>EMP014</t>
  </si>
  <si>
    <t>Ruth Evans</t>
  </si>
  <si>
    <t>EMP015</t>
  </si>
  <si>
    <t>Kelvin Musa</t>
  </si>
  <si>
    <t>EMP016</t>
  </si>
  <si>
    <t>Linda Brown</t>
  </si>
  <si>
    <t>EMP017</t>
  </si>
  <si>
    <t>Chris Okoro</t>
  </si>
  <si>
    <t>EMP018</t>
  </si>
  <si>
    <t>Mary Johnson</t>
  </si>
  <si>
    <t>EMP019</t>
  </si>
  <si>
    <t>Isaac George</t>
  </si>
  <si>
    <t>EMP020</t>
  </si>
  <si>
    <t>Faith Williams</t>
  </si>
  <si>
    <t>The total number of employees.</t>
  </si>
  <si>
    <t>The number of male employees.</t>
  </si>
  <si>
    <t>The number of female employees</t>
  </si>
  <si>
    <t>The number of employees with Completed status.</t>
  </si>
  <si>
    <t>The number of employees with Pending status</t>
  </si>
  <si>
    <t>The lowest sales value</t>
  </si>
  <si>
    <t xml:space="preserve"> The average sales value.</t>
  </si>
  <si>
    <t>The highest sales value</t>
  </si>
  <si>
    <t>Determine the highest and lowest sales recorded in each department.</t>
  </si>
  <si>
    <t>Highest sales in HR departmet</t>
  </si>
  <si>
    <t>Highest sales in Sales departmet</t>
  </si>
  <si>
    <t>Highest sales in Marketing departmet</t>
  </si>
  <si>
    <t>Highest sales in Finance department</t>
  </si>
  <si>
    <t>Lowest sales in HR departmet</t>
  </si>
  <si>
    <t>Lowest sales in Sales departmet</t>
  </si>
  <si>
    <t>Lowest sales in Marketing departmet</t>
  </si>
  <si>
    <t>Lowest sales in Finance department</t>
  </si>
  <si>
    <t>Left</t>
  </si>
  <si>
    <t>Right</t>
  </si>
  <si>
    <t>Name, Department, and Branch</t>
  </si>
  <si>
    <t>Bonus</t>
  </si>
  <si>
    <t xml:space="preserve">The employee with the highest sales. </t>
  </si>
  <si>
    <t xml:space="preserve"> The employee with the lowest sales. </t>
  </si>
  <si>
    <t xml:space="preserve"> The department with the highest average sales.  </t>
  </si>
  <si>
    <t>The branch with the highest total sales.</t>
  </si>
  <si>
    <t>2 FIND</t>
  </si>
  <si>
    <t>1 DETERMING</t>
  </si>
  <si>
    <t>5 HIGHEST SALES</t>
  </si>
  <si>
    <t>6 LOWEST SALES</t>
  </si>
  <si>
    <t>7 IDENTIFY</t>
  </si>
  <si>
    <t xml:space="preserve"> HR department</t>
  </si>
  <si>
    <t>4 AVERAGE SALES</t>
  </si>
  <si>
    <t xml:space="preserve"> Sales department</t>
  </si>
  <si>
    <t xml:space="preserve"> Marketing department</t>
  </si>
  <si>
    <t xml:space="preserve"> Finance department</t>
  </si>
  <si>
    <t>3 TOTAL SALES</t>
  </si>
  <si>
    <t xml:space="preserve"> Generated by lagos branch.</t>
  </si>
  <si>
    <t>Generated by Abuja branch.</t>
  </si>
  <si>
    <t>Generated by Port Harcourt branch.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</si>
</sst>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4" fontId="3" fillId="0" borderId="0" xfId="1" applyFont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42BE-F629-47CA-B2F6-7068063C9CB3}">
  <dimension ref="A1:N21"/>
  <sheetViews>
    <sheetView tabSelected="1" topLeftCell="A5" zoomScale="106" zoomScaleNormal="106" workbookViewId="0">
      <selection activeCell="N7" sqref="N7"/>
    </sheetView>
  </sheetViews>
  <sheetFormatPr defaultRowHeight="15" x14ac:dyDescent="0.25"/>
  <cols>
    <col min="1" max="1" width="16.42578125" customWidth="1"/>
    <col min="2" max="2" width="21.5703125" customWidth="1"/>
    <col min="3" max="3" width="10.7109375" customWidth="1"/>
    <col min="4" max="4" width="15.7109375" customWidth="1"/>
    <col min="5" max="5" width="13" bestFit="1" customWidth="1"/>
    <col min="6" max="6" width="11.42578125" customWidth="1"/>
    <col min="7" max="7" width="18.5703125" customWidth="1"/>
    <col min="8" max="8" width="13" bestFit="1" customWidth="1"/>
    <col min="9" max="9" width="10.42578125" bestFit="1" customWidth="1"/>
  </cols>
  <sheetData>
    <row r="1" spans="1:14" s="1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4" ht="15.75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5</v>
      </c>
      <c r="G2" s="4">
        <v>12500</v>
      </c>
      <c r="H2" s="3" t="s">
        <v>14</v>
      </c>
      <c r="I2" s="3" t="s">
        <v>15</v>
      </c>
    </row>
    <row r="3" spans="1:14" ht="15.75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>
        <v>3</v>
      </c>
      <c r="G3" s="4">
        <v>9800</v>
      </c>
      <c r="H3" s="3" t="s">
        <v>21</v>
      </c>
      <c r="I3" s="3" t="s">
        <v>15</v>
      </c>
    </row>
    <row r="4" spans="1:14" ht="15.75" x14ac:dyDescent="0.25">
      <c r="A4" s="3" t="s">
        <v>22</v>
      </c>
      <c r="B4" s="3" t="s">
        <v>23</v>
      </c>
      <c r="C4" s="3" t="s">
        <v>11</v>
      </c>
      <c r="D4" s="3" t="s">
        <v>12</v>
      </c>
      <c r="E4" s="3" t="s">
        <v>13</v>
      </c>
      <c r="F4" s="3">
        <v>7</v>
      </c>
      <c r="G4" s="4">
        <v>15400</v>
      </c>
      <c r="H4" s="3" t="s">
        <v>14</v>
      </c>
      <c r="I4" s="3" t="s">
        <v>15</v>
      </c>
    </row>
    <row r="5" spans="1:14" ht="15.75" x14ac:dyDescent="0.25">
      <c r="A5" s="3" t="s">
        <v>24</v>
      </c>
      <c r="B5" s="3" t="s">
        <v>25</v>
      </c>
      <c r="C5" s="3" t="s">
        <v>18</v>
      </c>
      <c r="D5" s="3" t="s">
        <v>26</v>
      </c>
      <c r="E5" s="3" t="s">
        <v>27</v>
      </c>
      <c r="F5" s="3">
        <v>4</v>
      </c>
      <c r="G5" s="4">
        <v>7200</v>
      </c>
      <c r="H5" s="3" t="s">
        <v>21</v>
      </c>
      <c r="I5" s="3" t="s">
        <v>28</v>
      </c>
    </row>
    <row r="6" spans="1:14" ht="15.75" x14ac:dyDescent="0.25">
      <c r="A6" s="3" t="s">
        <v>29</v>
      </c>
      <c r="B6" s="3" t="s">
        <v>30</v>
      </c>
      <c r="C6" s="3" t="s">
        <v>11</v>
      </c>
      <c r="D6" s="3" t="s">
        <v>31</v>
      </c>
      <c r="E6" s="3" t="s">
        <v>20</v>
      </c>
      <c r="F6" s="3">
        <v>6</v>
      </c>
      <c r="G6" s="4">
        <v>13200</v>
      </c>
      <c r="H6" s="3" t="s">
        <v>14</v>
      </c>
      <c r="I6" s="3" t="s">
        <v>15</v>
      </c>
    </row>
    <row r="7" spans="1:14" ht="15.75" x14ac:dyDescent="0.25">
      <c r="A7" s="3" t="s">
        <v>32</v>
      </c>
      <c r="B7" s="3" t="s">
        <v>33</v>
      </c>
      <c r="C7" s="3" t="s">
        <v>18</v>
      </c>
      <c r="D7" s="3" t="s">
        <v>12</v>
      </c>
      <c r="E7" s="3" t="s">
        <v>13</v>
      </c>
      <c r="F7" s="3">
        <v>2</v>
      </c>
      <c r="G7" s="4">
        <v>8600</v>
      </c>
      <c r="H7" s="3" t="s">
        <v>34</v>
      </c>
      <c r="I7" s="3" t="s">
        <v>28</v>
      </c>
    </row>
    <row r="8" spans="1:14" ht="15.75" x14ac:dyDescent="0.25">
      <c r="A8" s="3" t="s">
        <v>35</v>
      </c>
      <c r="B8" s="3" t="s">
        <v>36</v>
      </c>
      <c r="C8" s="3" t="s">
        <v>11</v>
      </c>
      <c r="D8" s="3" t="s">
        <v>19</v>
      </c>
      <c r="E8" s="3" t="s">
        <v>13</v>
      </c>
      <c r="F8" s="3">
        <v>8</v>
      </c>
      <c r="G8" s="4">
        <v>16800</v>
      </c>
      <c r="H8" s="3" t="s">
        <v>14</v>
      </c>
      <c r="I8" s="3" t="s">
        <v>15</v>
      </c>
    </row>
    <row r="9" spans="1:14" ht="15.75" x14ac:dyDescent="0.25">
      <c r="A9" s="3" t="s">
        <v>37</v>
      </c>
      <c r="B9" s="3" t="s">
        <v>38</v>
      </c>
      <c r="C9" s="3" t="s">
        <v>18</v>
      </c>
      <c r="D9" s="3" t="s">
        <v>31</v>
      </c>
      <c r="E9" s="3" t="s">
        <v>27</v>
      </c>
      <c r="F9" s="3">
        <v>5</v>
      </c>
      <c r="G9" s="4">
        <v>11900</v>
      </c>
      <c r="H9" s="3" t="s">
        <v>21</v>
      </c>
      <c r="I9" s="3" t="s">
        <v>15</v>
      </c>
    </row>
    <row r="10" spans="1:14" ht="15.75" x14ac:dyDescent="0.25">
      <c r="A10" s="3" t="s">
        <v>39</v>
      </c>
      <c r="B10" s="3" t="s">
        <v>40</v>
      </c>
      <c r="C10" s="3" t="s">
        <v>11</v>
      </c>
      <c r="D10" s="3" t="s">
        <v>26</v>
      </c>
      <c r="E10" s="3" t="s">
        <v>20</v>
      </c>
      <c r="F10" s="3">
        <v>1</v>
      </c>
      <c r="G10" s="4">
        <v>6500</v>
      </c>
      <c r="H10" s="3" t="s">
        <v>34</v>
      </c>
      <c r="I10" s="3" t="s">
        <v>28</v>
      </c>
    </row>
    <row r="11" spans="1:14" ht="15.75" x14ac:dyDescent="0.25">
      <c r="A11" s="3" t="s">
        <v>41</v>
      </c>
      <c r="B11" s="3" t="s">
        <v>42</v>
      </c>
      <c r="C11" s="3" t="s">
        <v>18</v>
      </c>
      <c r="D11" s="3" t="s">
        <v>12</v>
      </c>
      <c r="E11" s="3" t="s">
        <v>13</v>
      </c>
      <c r="F11" s="3">
        <v>9</v>
      </c>
      <c r="G11" s="4">
        <v>18200</v>
      </c>
      <c r="H11" s="3" t="s">
        <v>14</v>
      </c>
      <c r="I11" s="3" t="s">
        <v>15</v>
      </c>
    </row>
    <row r="12" spans="1:14" ht="15.75" x14ac:dyDescent="0.25">
      <c r="A12" s="3" t="s">
        <v>43</v>
      </c>
      <c r="B12" s="3" t="s">
        <v>44</v>
      </c>
      <c r="C12" s="3" t="s">
        <v>11</v>
      </c>
      <c r="D12" s="3" t="s">
        <v>31</v>
      </c>
      <c r="E12" s="3" t="s">
        <v>13</v>
      </c>
      <c r="F12" s="3">
        <v>4</v>
      </c>
      <c r="G12" s="4">
        <v>11000</v>
      </c>
      <c r="H12" s="3" t="s">
        <v>21</v>
      </c>
      <c r="I12" s="3" t="s">
        <v>15</v>
      </c>
    </row>
    <row r="13" spans="1:14" ht="15.75" x14ac:dyDescent="0.25">
      <c r="A13" s="3" t="s">
        <v>45</v>
      </c>
      <c r="B13" s="3" t="s">
        <v>46</v>
      </c>
      <c r="C13" s="3" t="s">
        <v>18</v>
      </c>
      <c r="D13" s="3" t="s">
        <v>19</v>
      </c>
      <c r="E13" s="3" t="s">
        <v>20</v>
      </c>
      <c r="F13" s="3">
        <v>6</v>
      </c>
      <c r="G13" s="4">
        <v>13600</v>
      </c>
      <c r="H13" s="3" t="s">
        <v>14</v>
      </c>
      <c r="I13" s="3" t="s">
        <v>15</v>
      </c>
    </row>
    <row r="14" spans="1:14" ht="15.75" x14ac:dyDescent="0.25">
      <c r="A14" s="3" t="s">
        <v>47</v>
      </c>
      <c r="B14" s="3" t="s">
        <v>48</v>
      </c>
      <c r="C14" s="3" t="s">
        <v>11</v>
      </c>
      <c r="D14" s="3" t="s">
        <v>12</v>
      </c>
      <c r="E14" s="3" t="s">
        <v>27</v>
      </c>
      <c r="F14" s="3">
        <v>3</v>
      </c>
      <c r="G14" s="4">
        <v>9400</v>
      </c>
      <c r="H14" s="3" t="s">
        <v>21</v>
      </c>
      <c r="I14" s="3" t="s">
        <v>28</v>
      </c>
    </row>
    <row r="15" spans="1:14" ht="15.75" x14ac:dyDescent="0.25">
      <c r="A15" s="3" t="s">
        <v>49</v>
      </c>
      <c r="B15" s="3" t="s">
        <v>50</v>
      </c>
      <c r="C15" s="3" t="s">
        <v>18</v>
      </c>
      <c r="D15" s="3" t="s">
        <v>26</v>
      </c>
      <c r="E15" s="3" t="s">
        <v>13</v>
      </c>
      <c r="F15" s="3">
        <v>7</v>
      </c>
      <c r="G15" s="4">
        <v>10100</v>
      </c>
      <c r="H15" s="3" t="s">
        <v>21</v>
      </c>
      <c r="I15" s="3" t="s">
        <v>15</v>
      </c>
    </row>
    <row r="16" spans="1:14" ht="15.75" x14ac:dyDescent="0.25">
      <c r="A16" s="3" t="s">
        <v>51</v>
      </c>
      <c r="B16" s="3" t="s">
        <v>52</v>
      </c>
      <c r="C16" s="3" t="s">
        <v>11</v>
      </c>
      <c r="D16" s="3" t="s">
        <v>12</v>
      </c>
      <c r="E16" s="3" t="s">
        <v>20</v>
      </c>
      <c r="F16" s="3">
        <v>5</v>
      </c>
      <c r="G16" s="4">
        <v>14500</v>
      </c>
      <c r="H16" s="3" t="s">
        <v>14</v>
      </c>
      <c r="I16" s="3" t="s">
        <v>15</v>
      </c>
      <c r="N16" s="5"/>
    </row>
    <row r="17" spans="1:14" ht="15.75" x14ac:dyDescent="0.25">
      <c r="A17" s="3" t="s">
        <v>53</v>
      </c>
      <c r="B17" s="3" t="s">
        <v>54</v>
      </c>
      <c r="C17" s="3" t="s">
        <v>18</v>
      </c>
      <c r="D17" s="3" t="s">
        <v>31</v>
      </c>
      <c r="E17" s="3" t="s">
        <v>13</v>
      </c>
      <c r="F17" s="3">
        <v>2</v>
      </c>
      <c r="G17" s="4">
        <v>8900</v>
      </c>
      <c r="H17" s="3" t="s">
        <v>34</v>
      </c>
      <c r="I17" s="3" t="s">
        <v>28</v>
      </c>
      <c r="N17" s="5"/>
    </row>
    <row r="18" spans="1:14" ht="15.75" x14ac:dyDescent="0.25">
      <c r="A18" s="3" t="s">
        <v>55</v>
      </c>
      <c r="B18" s="3" t="s">
        <v>56</v>
      </c>
      <c r="C18" s="3" t="s">
        <v>11</v>
      </c>
      <c r="D18" s="3" t="s">
        <v>19</v>
      </c>
      <c r="E18" s="3" t="s">
        <v>27</v>
      </c>
      <c r="F18" s="3">
        <v>6</v>
      </c>
      <c r="G18" s="4">
        <v>12700</v>
      </c>
      <c r="H18" s="3" t="s">
        <v>21</v>
      </c>
      <c r="I18" s="3" t="s">
        <v>15</v>
      </c>
      <c r="N18" s="5"/>
    </row>
    <row r="19" spans="1:14" ht="15.75" x14ac:dyDescent="0.25">
      <c r="A19" s="3" t="s">
        <v>57</v>
      </c>
      <c r="B19" s="3" t="s">
        <v>58</v>
      </c>
      <c r="C19" s="3" t="s">
        <v>18</v>
      </c>
      <c r="D19" s="3" t="s">
        <v>26</v>
      </c>
      <c r="E19" s="3" t="s">
        <v>20</v>
      </c>
      <c r="F19" s="3">
        <v>8</v>
      </c>
      <c r="G19" s="4">
        <v>11700</v>
      </c>
      <c r="H19" s="3" t="s">
        <v>14</v>
      </c>
      <c r="I19" s="3" t="s">
        <v>15</v>
      </c>
      <c r="N19" s="5"/>
    </row>
    <row r="20" spans="1:14" ht="15.75" x14ac:dyDescent="0.25">
      <c r="A20" s="3" t="s">
        <v>59</v>
      </c>
      <c r="B20" s="3" t="s">
        <v>60</v>
      </c>
      <c r="C20" s="3" t="s">
        <v>11</v>
      </c>
      <c r="D20" s="3" t="s">
        <v>12</v>
      </c>
      <c r="E20" s="3" t="s">
        <v>13</v>
      </c>
      <c r="F20" s="3">
        <v>10</v>
      </c>
      <c r="G20" s="4">
        <v>19500</v>
      </c>
      <c r="H20" s="3" t="s">
        <v>14</v>
      </c>
      <c r="I20" s="3" t="s">
        <v>15</v>
      </c>
      <c r="N20" s="5"/>
    </row>
    <row r="21" spans="1:14" ht="15.75" x14ac:dyDescent="0.25">
      <c r="A21" s="3" t="s">
        <v>61</v>
      </c>
      <c r="B21" s="3" t="s">
        <v>62</v>
      </c>
      <c r="C21" s="3" t="s">
        <v>18</v>
      </c>
      <c r="D21" s="3" t="s">
        <v>19</v>
      </c>
      <c r="E21" s="3" t="s">
        <v>13</v>
      </c>
      <c r="F21" s="3">
        <v>4</v>
      </c>
      <c r="G21" s="4">
        <v>10500</v>
      </c>
      <c r="H21" s="3" t="s">
        <v>21</v>
      </c>
      <c r="I21" s="3" t="s">
        <v>28</v>
      </c>
      <c r="N21" s="5"/>
    </row>
  </sheetData>
  <autoFilter ref="A1:I22" xr:uid="{6F0E42BE-F629-47CA-B2F6-7068063C9CB3}"/>
  <conditionalFormatting sqref="D69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{5CA5DA3C-C682-45F4-BCEA-E83A90948518}</x14:id>
        </ext>
      </extLst>
    </cfRule>
  </conditionalFormatting>
  <conditionalFormatting sqref="E44:E47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{64E466CB-EE93-4A0A-9EA0-563EE1C6F946}</x14:id>
        </ext>
      </extLst>
    </cfRule>
  </conditionalFormatting>
  <conditionalFormatting sqref="F64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{0F835E20-6FD8-4E86-A6F4-F7E9729C7570}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A5DA3C-C682-45F4-BCEA-E83A9094851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D69</xm:sqref>
        </x14:conditionalFormatting>
        <x14:conditionalFormatting xmlns:xm="http://schemas.microsoft.com/office/excel/2006/main">
          <x14:cfRule type="dataBar" id="{64E466CB-EE93-4A0A-9EA0-563EE1C6F9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E44:E47</xm:sqref>
        </x14:conditionalFormatting>
        <x14:conditionalFormatting xmlns:xm="http://schemas.microsoft.com/office/excel/2006/main">
          <x14:cfRule type="dataBar" id="{0F835E20-6FD8-4E86-A6F4-F7E9729C757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62CE-B27B-433F-8570-F0D15CBEB2EE}">
  <dimension ref="A1:D63"/>
  <sheetViews>
    <sheetView topLeftCell="A44" workbookViewId="0">
      <selection activeCell="D61" sqref="D61"/>
    </sheetView>
  </sheetViews>
  <sheetFormatPr defaultRowHeight="15" x14ac:dyDescent="0.25"/>
  <cols>
    <col min="1" max="1" width="33.140625" customWidth="1"/>
    <col min="3" max="3" width="54.42578125" customWidth="1"/>
    <col min="4" max="4" width="18" customWidth="1"/>
  </cols>
  <sheetData>
    <row r="1" spans="1:4" x14ac:dyDescent="0.25">
      <c r="A1" s="1" t="s">
        <v>82</v>
      </c>
      <c r="B1" s="1" t="s">
        <v>80</v>
      </c>
      <c r="C1" s="1" t="s">
        <v>81</v>
      </c>
      <c r="D1" s="1" t="s">
        <v>83</v>
      </c>
    </row>
    <row r="2" spans="1:4" x14ac:dyDescent="0.25">
      <c r="A2" t="str">
        <f>_xlfn.CONCAT(Sheet2!B2, " - ",Sheet2!D2, " - ",Sheet2!E2)</f>
        <v>John Adams - Sales - Lagos</v>
      </c>
      <c r="B2" t="str">
        <f>LEFT(Sheet2!B2,4)</f>
        <v>John</v>
      </c>
      <c r="C2" t="str">
        <f>RIGHT(Sheet2!B2,5)</f>
        <v>Adams</v>
      </c>
      <c r="D2" s="5">
        <f>IF(Sheet2!G2&gt;=15000,1000,IF(Sheet2!G2&gt;=1000,500,0))</f>
        <v>500</v>
      </c>
    </row>
    <row r="3" spans="1:4" x14ac:dyDescent="0.25">
      <c r="A3" t="str">
        <f>_xlfn.CONCAT(Sheet2!B3, " - ",Sheet2!D3, " - ",Sheet2!E3)</f>
        <v>Sarah James - Marketing - Abuja</v>
      </c>
      <c r="B3" t="str">
        <f>LEFT(Sheet2!B3,4)</f>
        <v>Sara</v>
      </c>
      <c r="C3" t="str">
        <f>RIGHT(Sheet2!B3,5)</f>
        <v>James</v>
      </c>
      <c r="D3" s="5">
        <f>IF(Sheet2!G3&gt;=15000,1000,IF(Sheet2!G3&gt;=1000,500,0))</f>
        <v>500</v>
      </c>
    </row>
    <row r="4" spans="1:4" x14ac:dyDescent="0.25">
      <c r="A4" t="str">
        <f>_xlfn.CONCAT(Sheet2!B4, " - ",Sheet2!D4, " - ",Sheet2!E4)</f>
        <v>David Paul - Sales - Lagos</v>
      </c>
      <c r="B4" t="str">
        <f>LEFT(Sheet2!B4,4)</f>
        <v>Davi</v>
      </c>
      <c r="C4" t="str">
        <f>RIGHT(Sheet2!B4,5)</f>
        <v xml:space="preserve"> Paul</v>
      </c>
      <c r="D4" s="5">
        <f>IF(Sheet2!G4&gt;=15000,1000,IF(Sheet2!G4&gt;=1000,500,0))</f>
        <v>1000</v>
      </c>
    </row>
    <row r="5" spans="1:4" x14ac:dyDescent="0.25">
      <c r="A5" t="str">
        <f>_xlfn.CONCAT(Sheet2!B5, " - ",Sheet2!D5, " - ",Sheet2!E5)</f>
        <v>Grace John - HR - Port Harcourt</v>
      </c>
      <c r="B5" t="str">
        <f>LEFT(Sheet2!B5,4)</f>
        <v>Grac</v>
      </c>
      <c r="C5" t="str">
        <f>RIGHT(Sheet2!B5,5)</f>
        <v xml:space="preserve"> John</v>
      </c>
      <c r="D5" s="5">
        <f>IF(Sheet2!G5&gt;=15000,1000,IF(Sheet2!G5&gt;=1000,500,0))</f>
        <v>500</v>
      </c>
    </row>
    <row r="6" spans="1:4" x14ac:dyDescent="0.25">
      <c r="A6" t="str">
        <f>_xlfn.CONCAT(Sheet2!B6, " - ",Sheet2!D6, " - ",Sheet2!E6)</f>
        <v>Michael Obi - Finance - Abuja</v>
      </c>
      <c r="B6" t="str">
        <f>LEFT(Sheet2!B6,4)</f>
        <v>Mich</v>
      </c>
      <c r="C6" t="str">
        <f>RIGHT(Sheet2!B6,5)</f>
        <v>l Obi</v>
      </c>
      <c r="D6" s="5">
        <f>IF(Sheet2!G6&gt;=15000,1000,IF(Sheet2!G6&gt;=1000,500,0))</f>
        <v>500</v>
      </c>
    </row>
    <row r="7" spans="1:4" x14ac:dyDescent="0.25">
      <c r="A7" t="str">
        <f>_xlfn.CONCAT(Sheet2!B7, " - ",Sheet2!D7, " - ",Sheet2!E7)</f>
        <v>Esther Bello - Sales - Lagos</v>
      </c>
      <c r="B7" t="str">
        <f>LEFT(Sheet2!B7,4)</f>
        <v>Esth</v>
      </c>
      <c r="C7" t="str">
        <f>RIGHT(Sheet2!B7,5)</f>
        <v>Bello</v>
      </c>
      <c r="D7" s="5">
        <f>IF(Sheet2!G7&gt;=15000,1000,IF(Sheet2!G7&gt;=1000,500,0))</f>
        <v>500</v>
      </c>
    </row>
    <row r="8" spans="1:4" x14ac:dyDescent="0.25">
      <c r="A8" t="str">
        <f>_xlfn.CONCAT(Sheet2!B8, " - ",Sheet2!D8, " - ",Sheet2!E8)</f>
        <v>Daniel Kim - Marketing - Lagos</v>
      </c>
      <c r="B8" t="str">
        <f>LEFT(Sheet2!B8,4)</f>
        <v>Dani</v>
      </c>
      <c r="C8" t="str">
        <f>RIGHT(Sheet2!B8,5)</f>
        <v>l Kim</v>
      </c>
      <c r="D8" s="5">
        <f>IF(Sheet2!G8&gt;=15000,1000,IF(Sheet2!G8&gt;=1000,500,0))</f>
        <v>1000</v>
      </c>
    </row>
    <row r="9" spans="1:4" x14ac:dyDescent="0.25">
      <c r="A9" t="str">
        <f>_xlfn.CONCAT(Sheet2!B9, " - ",Sheet2!D9, " - ",Sheet2!E9)</f>
        <v>Mercy Ali - Finance - Port Harcourt</v>
      </c>
      <c r="B9" t="str">
        <f>LEFT(Sheet2!B9,4)</f>
        <v>Merc</v>
      </c>
      <c r="C9" t="str">
        <f>RIGHT(Sheet2!B9,5)</f>
        <v>y Ali</v>
      </c>
      <c r="D9" s="5">
        <f>IF(Sheet2!G9&gt;=15000,1000,IF(Sheet2!G9&gt;=1000,500,0))</f>
        <v>500</v>
      </c>
    </row>
    <row r="10" spans="1:4" x14ac:dyDescent="0.25">
      <c r="A10" t="str">
        <f>_xlfn.CONCAT(Sheet2!B10, " - ",Sheet2!D10, " - ",Sheet2!E10)</f>
        <v>James Cole - HR - Abuja</v>
      </c>
      <c r="B10" t="str">
        <f>LEFT(Sheet2!B10,4)</f>
        <v>Jame</v>
      </c>
      <c r="C10" t="str">
        <f>RIGHT(Sheet2!B10,5)</f>
        <v xml:space="preserve"> Cole</v>
      </c>
      <c r="D10" s="5">
        <f>IF(Sheet2!G10&gt;=15000,1000,IF(Sheet2!G10&gt;=1000,500,0))</f>
        <v>500</v>
      </c>
    </row>
    <row r="11" spans="1:4" x14ac:dyDescent="0.25">
      <c r="A11" t="str">
        <f>_xlfn.CONCAT(Sheet2!B11, " - ",Sheet2!D11, " - ",Sheet2!E11)</f>
        <v>Vivian Duke - Sales - Lagos</v>
      </c>
      <c r="B11" t="str">
        <f>LEFT(Sheet2!B11,4)</f>
        <v>Vivi</v>
      </c>
      <c r="C11" t="str">
        <f>RIGHT(Sheet2!B11,5)</f>
        <v xml:space="preserve"> Duke</v>
      </c>
      <c r="D11" s="5">
        <f>IF(Sheet2!G11&gt;=15000,1000,IF(Sheet2!G11&gt;=1000,500,0))</f>
        <v>1000</v>
      </c>
    </row>
    <row r="12" spans="1:4" x14ac:dyDescent="0.25">
      <c r="A12" t="str">
        <f>_xlfn.CONCAT(Sheet2!B12, " - ",Sheet2!D12, " - ",Sheet2!E12)</f>
        <v>Peter Simon - Finance - Lagos</v>
      </c>
      <c r="B12" t="str">
        <f>LEFT(Sheet2!B12,4)</f>
        <v>Pete</v>
      </c>
      <c r="C12" t="str">
        <f>RIGHT(Sheet2!B12,5)</f>
        <v>Simon</v>
      </c>
      <c r="D12" s="5">
        <f>IF(Sheet2!G12&gt;=15000,1000,IF(Sheet2!G12&gt;=1000,500,0))</f>
        <v>500</v>
      </c>
    </row>
    <row r="13" spans="1:4" x14ac:dyDescent="0.25">
      <c r="A13" t="str">
        <f>_xlfn.CONCAT(Sheet2!B13, " - ",Sheet2!D13, " - ",Sheet2!E13)</f>
        <v>Anita Grace - Marketing - Abuja</v>
      </c>
      <c r="B13" t="str">
        <f>LEFT(Sheet2!B13,4)</f>
        <v>Anit</v>
      </c>
      <c r="C13" t="str">
        <f>RIGHT(Sheet2!B13,5)</f>
        <v>Grace</v>
      </c>
      <c r="D13" s="5">
        <f>IF(Sheet2!G13&gt;=15000,1000,IF(Sheet2!G13&gt;=1000,500,0))</f>
        <v>500</v>
      </c>
    </row>
    <row r="14" spans="1:4" x14ac:dyDescent="0.25">
      <c r="A14" t="str">
        <f>_xlfn.CONCAT(Sheet2!B14, " - ",Sheet2!D14, " - ",Sheet2!E14)</f>
        <v>Samuel John - Sales - Port Harcourt</v>
      </c>
      <c r="B14" t="str">
        <f>LEFT(Sheet2!B14,4)</f>
        <v>Samu</v>
      </c>
      <c r="C14" t="str">
        <f>RIGHT(Sheet2!B14,5)</f>
        <v xml:space="preserve"> John</v>
      </c>
      <c r="D14" s="5">
        <f>IF(Sheet2!G14&gt;=15000,1000,IF(Sheet2!G14&gt;=1000,500,0))</f>
        <v>500</v>
      </c>
    </row>
    <row r="15" spans="1:4" x14ac:dyDescent="0.25">
      <c r="A15" t="str">
        <f>_xlfn.CONCAT(Sheet2!B15, " - ",Sheet2!D15, " - ",Sheet2!E15)</f>
        <v>Ruth Evans - HR - Lagos</v>
      </c>
      <c r="B15" t="str">
        <f>LEFT(Sheet2!B15,4)</f>
        <v>Ruth</v>
      </c>
      <c r="C15" t="str">
        <f>RIGHT(Sheet2!B15,5)</f>
        <v>Evans</v>
      </c>
      <c r="D15" s="5">
        <f>IF(Sheet2!G15&gt;=15000,1000,IF(Sheet2!G15&gt;=1000,500,0))</f>
        <v>500</v>
      </c>
    </row>
    <row r="16" spans="1:4" x14ac:dyDescent="0.25">
      <c r="A16" t="str">
        <f>_xlfn.CONCAT(Sheet2!B16, " - ",Sheet2!D16, " - ",Sheet2!E16)</f>
        <v>Kelvin Musa - Sales - Abuja</v>
      </c>
      <c r="B16" t="str">
        <f>LEFT(Sheet2!B16,4)</f>
        <v>Kelv</v>
      </c>
      <c r="C16" t="str">
        <f>RIGHT(Sheet2!B16,5)</f>
        <v xml:space="preserve"> Musa</v>
      </c>
      <c r="D16" s="5">
        <f>IF(Sheet2!G16&gt;=15000,1000,IF(Sheet2!G16&gt;=1000,500,0))</f>
        <v>500</v>
      </c>
    </row>
    <row r="17" spans="1:4" x14ac:dyDescent="0.25">
      <c r="A17" t="str">
        <f>_xlfn.CONCAT(Sheet2!B17, " - ",Sheet2!D17, " - ",Sheet2!E17)</f>
        <v>Linda Brown - Finance - Lagos</v>
      </c>
      <c r="B17" t="str">
        <f>LEFT(Sheet2!B17,4)</f>
        <v>Lind</v>
      </c>
      <c r="C17" t="str">
        <f>RIGHT(Sheet2!B17,5)</f>
        <v>Brown</v>
      </c>
      <c r="D17" s="5">
        <f>IF(Sheet2!G17&gt;=15000,1000,IF(Sheet2!G17&gt;=1000,500,0))</f>
        <v>500</v>
      </c>
    </row>
    <row r="18" spans="1:4" x14ac:dyDescent="0.25">
      <c r="A18" t="str">
        <f>_xlfn.CONCAT(Sheet2!B18, " - ",Sheet2!D18, " - ",Sheet2!E18)</f>
        <v>Chris Okoro - Marketing - Port Harcourt</v>
      </c>
      <c r="B18" t="str">
        <f>LEFT(Sheet2!B18,4)</f>
        <v>Chri</v>
      </c>
      <c r="C18" t="str">
        <f>RIGHT(Sheet2!B18,5)</f>
        <v>Okoro</v>
      </c>
      <c r="D18" s="5">
        <f>IF(Sheet2!G18&gt;=15000,1000,IF(Sheet2!G18&gt;=1000,500,0))</f>
        <v>500</v>
      </c>
    </row>
    <row r="19" spans="1:4" x14ac:dyDescent="0.25">
      <c r="A19" t="str">
        <f>_xlfn.CONCAT(Sheet2!B19, " - ",Sheet2!D19, " - ",Sheet2!E19)</f>
        <v>Mary Johnson - HR - Abuja</v>
      </c>
      <c r="B19" t="str">
        <f>LEFT(Sheet2!B19,4)</f>
        <v>Mary</v>
      </c>
      <c r="C19" t="str">
        <f>RIGHT(Sheet2!B19,5)</f>
        <v>hnson</v>
      </c>
      <c r="D19" s="5">
        <f>IF(Sheet2!G19&gt;=15000,1000,IF(Sheet2!G19&gt;=1000,500,0))</f>
        <v>500</v>
      </c>
    </row>
    <row r="20" spans="1:4" x14ac:dyDescent="0.25">
      <c r="A20" t="str">
        <f>_xlfn.CONCAT(Sheet2!B20, " - ",Sheet2!D20, " - ",Sheet2!E20)</f>
        <v>Isaac George - Sales - Lagos</v>
      </c>
      <c r="B20" t="str">
        <f>LEFT(Sheet2!B20,4)</f>
        <v>Isaa</v>
      </c>
      <c r="C20" t="str">
        <f>RIGHT(Sheet2!B20,5)</f>
        <v>eorge</v>
      </c>
      <c r="D20" s="5">
        <f>IF(Sheet2!G20&gt;=15000,1000,IF(Sheet2!G20&gt;=1000,500,0))</f>
        <v>1000</v>
      </c>
    </row>
    <row r="21" spans="1:4" x14ac:dyDescent="0.25">
      <c r="A21" t="str">
        <f>_xlfn.CONCAT(Sheet2!B21, " - ",Sheet2!D21, " - ",Sheet2!E21)</f>
        <v>Faith Williams - Marketing - Lagos</v>
      </c>
      <c r="B21" t="str">
        <f>LEFT(Sheet2!B21,4)</f>
        <v>Fait</v>
      </c>
      <c r="C21" t="str">
        <f>RIGHT(Sheet2!B21,5)</f>
        <v>liams</v>
      </c>
      <c r="D21" s="5">
        <f>IF(Sheet2!G21&gt;=15000,1000,IF(Sheet2!G21&gt;=1000,500,0))</f>
        <v>500</v>
      </c>
    </row>
    <row r="24" spans="1:4" x14ac:dyDescent="0.25">
      <c r="A24" s="1" t="s">
        <v>89</v>
      </c>
    </row>
    <row r="25" spans="1:4" x14ac:dyDescent="0.25">
      <c r="B25" s="1" t="s">
        <v>63</v>
      </c>
      <c r="C25" s="1"/>
      <c r="D25">
        <f>COUNTA(Sheet2!A2:A21)</f>
        <v>20</v>
      </c>
    </row>
    <row r="26" spans="1:4" x14ac:dyDescent="0.25">
      <c r="B26" s="1" t="s">
        <v>64</v>
      </c>
      <c r="C26" s="1"/>
      <c r="D26">
        <f>COUNTIF(Sheet2!C2:C21,"Male")</f>
        <v>10</v>
      </c>
    </row>
    <row r="27" spans="1:4" x14ac:dyDescent="0.25">
      <c r="B27" s="1" t="s">
        <v>65</v>
      </c>
      <c r="C27" s="1"/>
      <c r="D27">
        <f>COUNTIF(Sheet2!C2:C21,"Female")</f>
        <v>10</v>
      </c>
    </row>
    <row r="28" spans="1:4" x14ac:dyDescent="0.25">
      <c r="B28" s="1" t="s">
        <v>66</v>
      </c>
      <c r="C28" s="1"/>
      <c r="D28">
        <f>COUNTIF(Sheet2!I2:I21,"Completed")</f>
        <v>14</v>
      </c>
    </row>
    <row r="29" spans="1:4" x14ac:dyDescent="0.25">
      <c r="B29" s="1" t="s">
        <v>67</v>
      </c>
      <c r="C29" s="1"/>
      <c r="D29">
        <f>COUNTIF(Sheet2!I2:I21,"Pending")</f>
        <v>6</v>
      </c>
    </row>
    <row r="30" spans="1:4" x14ac:dyDescent="0.25">
      <c r="A30" s="1" t="s">
        <v>88</v>
      </c>
    </row>
    <row r="31" spans="1:4" x14ac:dyDescent="0.25">
      <c r="B31" s="1" t="s">
        <v>70</v>
      </c>
      <c r="C31" s="1"/>
      <c r="D31">
        <f>MAX(Sheet2!G2:G21)</f>
        <v>19500</v>
      </c>
    </row>
    <row r="32" spans="1:4" x14ac:dyDescent="0.25">
      <c r="B32" s="1" t="s">
        <v>68</v>
      </c>
      <c r="C32" s="1"/>
      <c r="D32">
        <f>MIN(Sheet2!G2:G21)</f>
        <v>6500</v>
      </c>
    </row>
    <row r="33" spans="1:4" x14ac:dyDescent="0.25">
      <c r="B33" s="1" t="s">
        <v>69</v>
      </c>
      <c r="C33" s="1"/>
      <c r="D33">
        <f>AVERAGE(Sheet2!G2:G21)</f>
        <v>12100</v>
      </c>
    </row>
    <row r="35" spans="1:4" x14ac:dyDescent="0.25">
      <c r="A35" s="1" t="s">
        <v>98</v>
      </c>
      <c r="B35" s="1" t="s">
        <v>99</v>
      </c>
      <c r="C35" s="1"/>
      <c r="D35">
        <f>SUMIF(Sheet2!E2:E21,"lagos",Sheet2!G2:G21)</f>
        <v>131500</v>
      </c>
    </row>
    <row r="36" spans="1:4" x14ac:dyDescent="0.25">
      <c r="B36" s="1" t="s">
        <v>100</v>
      </c>
      <c r="C36" s="1"/>
      <c r="D36">
        <f>SUMIF(Sheet2!E2:E21,"Abuja",Sheet2!G2:G21)</f>
        <v>69300</v>
      </c>
    </row>
    <row r="37" spans="1:4" x14ac:dyDescent="0.25">
      <c r="B37" s="1" t="s">
        <v>101</v>
      </c>
      <c r="C37" s="1"/>
      <c r="D37">
        <f>SUMIF(Sheet2!E2:E21,"Port Harcourt",Sheet2!G2:G21)</f>
        <v>41200</v>
      </c>
    </row>
    <row r="39" spans="1:4" x14ac:dyDescent="0.25">
      <c r="A39" s="1" t="s">
        <v>94</v>
      </c>
      <c r="B39" s="1" t="s">
        <v>93</v>
      </c>
      <c r="C39" s="1"/>
      <c r="D39">
        <f>AVERAGEIF(Sheet2!D2:D21,"HR",Sheet2!G2:G21)</f>
        <v>8875</v>
      </c>
    </row>
    <row r="40" spans="1:4" x14ac:dyDescent="0.25">
      <c r="B40" s="1" t="s">
        <v>95</v>
      </c>
      <c r="C40" s="1"/>
      <c r="D40">
        <f>AVERAGEIF(Sheet2!D2:D21,"Sales",Sheet2!G2:G21)</f>
        <v>14014.285714285714</v>
      </c>
    </row>
    <row r="41" spans="1:4" x14ac:dyDescent="0.25">
      <c r="B41" s="1" t="s">
        <v>96</v>
      </c>
      <c r="C41" s="1"/>
      <c r="D41">
        <f>AVERAGEIF(Sheet2!D3:D21,"Marketing",Sheet2!G2:G21)</f>
        <v>12100</v>
      </c>
    </row>
    <row r="42" spans="1:4" x14ac:dyDescent="0.25">
      <c r="B42" s="1" t="s">
        <v>97</v>
      </c>
      <c r="C42" s="1"/>
      <c r="D42">
        <f>AVERAGEIF(Sheet2!D2:D21,"Finance",Sheet2!G2:G21)</f>
        <v>11250</v>
      </c>
    </row>
    <row r="46" spans="1:4" x14ac:dyDescent="0.25">
      <c r="A46" s="1" t="s">
        <v>90</v>
      </c>
      <c r="B46" s="1" t="s">
        <v>71</v>
      </c>
      <c r="C46" s="1"/>
    </row>
    <row r="47" spans="1:4" x14ac:dyDescent="0.25">
      <c r="B47" s="1" t="s">
        <v>72</v>
      </c>
      <c r="C47" s="1"/>
      <c r="D47">
        <f>_xlfn.MAXIFS(Sheet2!G2:G21,Sheet2!D2:D21,"HR")</f>
        <v>11700</v>
      </c>
    </row>
    <row r="48" spans="1:4" x14ac:dyDescent="0.25">
      <c r="B48" s="1" t="s">
        <v>73</v>
      </c>
      <c r="C48" s="1"/>
      <c r="D48">
        <f>_xlfn.MAXIFS(Sheet2!G2:G21,Sheet2!D2:D21,"Sales")</f>
        <v>19500</v>
      </c>
    </row>
    <row r="49" spans="1:4" x14ac:dyDescent="0.25">
      <c r="B49" s="1" t="s">
        <v>74</v>
      </c>
      <c r="C49" s="1"/>
      <c r="D49">
        <f>_xlfn.MAXIFS(Sheet2!G2:G21,Sheet2!D2:D21,"Marketing")</f>
        <v>16800</v>
      </c>
    </row>
    <row r="50" spans="1:4" x14ac:dyDescent="0.25">
      <c r="B50" s="1" t="s">
        <v>75</v>
      </c>
      <c r="C50" s="1"/>
      <c r="D50">
        <f>_xlfn.MAXIFS(Sheet2!G2:G21,Sheet2!D2:D21,"Finance")</f>
        <v>13200</v>
      </c>
    </row>
    <row r="53" spans="1:4" x14ac:dyDescent="0.25">
      <c r="A53" s="1" t="s">
        <v>91</v>
      </c>
      <c r="B53" s="1" t="s">
        <v>76</v>
      </c>
      <c r="C53" s="1"/>
      <c r="D53">
        <f>_xlfn.MINIFS(Sheet2!G2:G21,Sheet2!D2:D21,"HR")</f>
        <v>6500</v>
      </c>
    </row>
    <row r="54" spans="1:4" x14ac:dyDescent="0.25">
      <c r="B54" s="1" t="s">
        <v>77</v>
      </c>
      <c r="C54" s="1"/>
      <c r="D54">
        <f>_xlfn.MINIFS(Sheet2!G2:G21,Sheet2!D2:D21,"sales")</f>
        <v>8600</v>
      </c>
    </row>
    <row r="55" spans="1:4" x14ac:dyDescent="0.25">
      <c r="B55" s="1" t="s">
        <v>78</v>
      </c>
      <c r="C55" s="1"/>
      <c r="D55">
        <f>_xlfn.MINIFS(Sheet2!G2:G21,Sheet2!D2:D21,"Marketing")</f>
        <v>9800</v>
      </c>
    </row>
    <row r="56" spans="1:4" x14ac:dyDescent="0.25">
      <c r="B56" s="1" t="s">
        <v>79</v>
      </c>
      <c r="C56" s="1"/>
      <c r="D56">
        <f>_xlfn.MINIFS(Sheet2!G2:G21,Sheet2!D2:D21,"Finance")</f>
        <v>8900</v>
      </c>
    </row>
    <row r="60" spans="1:4" x14ac:dyDescent="0.25">
      <c r="A60" s="1" t="s">
        <v>92</v>
      </c>
      <c r="B60" s="1" t="s">
        <v>84</v>
      </c>
      <c r="C60" s="1"/>
      <c r="D60" s="6" t="str">
        <f>_xlfn.XLOOKUP(MAX(Sheet2!G2:G21),Sheet2!G2:G21, Sheet2!B2:B21)</f>
        <v>Isaac George</v>
      </c>
    </row>
    <row r="61" spans="1:4" x14ac:dyDescent="0.25">
      <c r="B61" s="1" t="s">
        <v>85</v>
      </c>
      <c r="C61" s="1"/>
      <c r="D61" t="str">
        <f>_xlfn.XLOOKUP(MIN(Sheet2!G2:G21),Sheet2!G2:G21, Sheet2!B2:B21)</f>
        <v>James Cole</v>
      </c>
    </row>
    <row r="62" spans="1:4" x14ac:dyDescent="0.25">
      <c r="B62" s="1" t="s">
        <v>86</v>
      </c>
      <c r="C62" s="1"/>
      <c r="D62" t="str">
        <f>_xlfn.XLOOKUP(MAX(Sheet2!G2:G21),Sheet2!G2:G21, Sheet2!D2:D21)</f>
        <v>Sales</v>
      </c>
    </row>
    <row r="63" spans="1:4" x14ac:dyDescent="0.25">
      <c r="B63" s="1" t="s">
        <v>87</v>
      </c>
      <c r="C63" s="1"/>
      <c r="D63" t="str">
        <f>_xlfn.XLOOKUP(MAX(Sheet2!G2:G21),Sheet2!G2:G21, Sheet2!E2:E21)</f>
        <v>Lagos</v>
      </c>
    </row>
  </sheetData>
  <conditionalFormatting sqref="B25:D2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{E4C127F1-2760-4580-AEDE-8D42BD58EBD0}</x14:id>
        </ext>
      </extLst>
    </cfRule>
  </conditionalFormatting>
  <conditionalFormatting sqref="D31:D3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{628BC813-79AF-49C1-AAC3-E2DCA3EBC0ED}</x14:id>
        </ext>
      </extLst>
    </cfRule>
  </conditionalFormatting>
  <conditionalFormatting sqref="D35:D3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{B6DA08FC-459F-4607-88CD-90DB205B9130}</x14:id>
        </ext>
      </extLst>
    </cfRule>
  </conditionalFormatting>
  <conditionalFormatting sqref="D47:D5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{25A83EDA-1A03-43B5-A1DF-57E29E165FD0}</x14:id>
        </ext>
      </extLst>
    </cfRule>
  </conditionalFormatting>
  <conditionalFormatting sqref="D53:D5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{A21AE0A0-D389-47E5-9C51-F763DD461187}</x14:id>
        </ext>
      </extLst>
    </cfRule>
  </conditionalFormatting>
  <conditionalFormatting sqref="D60:D63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{00E59266-BC25-48E7-9359-9AD162FA6DD9}</x14:id>
        </ext>
      </extLst>
    </cfRule>
  </conditionalFormatting>
  <conditionalFormatting sqref="D60:D63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{515B5C8F-7FCB-4632-BC42-017AC949463C}</x14:id>
        </ext>
      </extLst>
    </cfRule>
  </conditionalFormatting>
  <conditionalFormatting sqref="D39:D42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{7969575F-C0CD-4ED2-926C-77B510B5E72D}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C127F1-2760-4580-AEDE-8D42BD58EB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B25:D29</xm:sqref>
        </x14:conditionalFormatting>
        <x14:conditionalFormatting xmlns:xm="http://schemas.microsoft.com/office/excel/2006/main">
          <x14:cfRule type="dataBar" id="{628BC813-79AF-49C1-AAC3-E2DCA3EBC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D31:D33</xm:sqref>
        </x14:conditionalFormatting>
        <x14:conditionalFormatting xmlns:xm="http://schemas.microsoft.com/office/excel/2006/main">
          <x14:cfRule type="dataBar" id="{B6DA08FC-459F-4607-88CD-90DB205B91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D35:D37</xm:sqref>
        </x14:conditionalFormatting>
        <x14:conditionalFormatting xmlns:xm="http://schemas.microsoft.com/office/excel/2006/main">
          <x14:cfRule type="dataBar" id="{25A83EDA-1A03-43B5-A1DF-57E29E165F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D47:D50</xm:sqref>
        </x14:conditionalFormatting>
        <x14:conditionalFormatting xmlns:xm="http://schemas.microsoft.com/office/excel/2006/main">
          <x14:cfRule type="dataBar" id="{A21AE0A0-D389-47E5-9C51-F763DD4611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D53:D56</xm:sqref>
        </x14:conditionalFormatting>
        <x14:conditionalFormatting xmlns:xm="http://schemas.microsoft.com/office/excel/2006/main">
          <x14:cfRule type="dataBar" id="{00E59266-BC25-48E7-9359-9AD162FA6D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D60:D63</xm:sqref>
        </x14:conditionalFormatting>
        <x14:conditionalFormatting xmlns:xm="http://schemas.microsoft.com/office/excel/2006/main">
          <x14:cfRule type="dataBar" id="{515B5C8F-7FCB-4632-BC42-017AC94946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D60:D63</xm:sqref>
        </x14:conditionalFormatting>
        <x14:conditionalFormatting xmlns:xm="http://schemas.microsoft.com/office/excel/2006/main">
          <x14:cfRule type="dataBar" id="{7969575F-C0CD-4ED2-926C-77B510B5E7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D39:D42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olawumi matthew</cp:lastModifiedBy>
  <dcterms:created xsi:type="dcterms:W3CDTF">2026-07-27T11:55:30Z</dcterms:created>
  <dcterms:modified xsi:type="dcterms:W3CDTF">2026-07-31T13:48:33Z</dcterms:modified>
</cp:coreProperties>
</file>